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analisis runtun waktu\"/>
    </mc:Choice>
  </mc:AlternateContent>
  <xr:revisionPtr revIDLastSave="0" documentId="8_{566DE9AB-3AF9-4702-BF2D-6B84D3658887}" xr6:coauthVersionLast="47" xr6:coauthVersionMax="47" xr10:uidLastSave="{00000000-0000-0000-0000-000000000000}"/>
  <bookViews>
    <workbookView xWindow="-110" yWindow="-110" windowWidth="19420" windowHeight="11500" xr2:uid="{B846F294-5A70-433D-A9EB-DAA45E038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H22" i="1"/>
  <c r="G22" i="1"/>
  <c r="F22" i="1"/>
  <c r="E22" i="1"/>
  <c r="D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<sst xmlns="http://schemas.openxmlformats.org/spreadsheetml/2006/main" count="14" uniqueCount="14">
  <si>
    <t>Time Period</t>
  </si>
  <si>
    <t>Observed Value (yt)</t>
  </si>
  <si>
    <t>Forecast (yt(t-1)</t>
  </si>
  <si>
    <t xml:space="preserve">Absolute Error </t>
  </si>
  <si>
    <t>Squared Error</t>
  </si>
  <si>
    <t>Relative Error</t>
  </si>
  <si>
    <t>Absolute Error</t>
  </si>
  <si>
    <t>TOTAL</t>
  </si>
  <si>
    <t>ME</t>
  </si>
  <si>
    <t>MAD</t>
  </si>
  <si>
    <t>MSE</t>
  </si>
  <si>
    <t>MPE</t>
  </si>
  <si>
    <t>MAPE</t>
  </si>
  <si>
    <t xml:space="preserve">Forecast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</si>
</sst>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61D9-FA91-4A1B-B3CC-BD31CDE31E2D}">
  <dimension ref="A1:H26"/>
  <sheetViews>
    <sheetView tabSelected="1" workbookViewId="0">
      <selection activeCell="J12" sqref="J12"/>
    </sheetView>
  </sheetViews>
  <sheetFormatPr defaultRowHeight="14.5" x14ac:dyDescent="0.35"/>
  <cols>
    <col min="1" max="1" width="11.36328125" customWidth="1"/>
    <col min="2" max="2" width="17.36328125" customWidth="1"/>
    <col min="3" max="3" width="14.6328125" customWidth="1"/>
    <col min="4" max="4" width="17.90625" customWidth="1"/>
    <col min="5" max="5" width="16.453125" customWidth="1"/>
    <col min="6" max="6" width="14" customWidth="1"/>
    <col min="7" max="7" width="15.81640625" customWidth="1"/>
    <col min="8" max="8" width="16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 s="1">
        <v>1</v>
      </c>
      <c r="B2" s="1">
        <v>47</v>
      </c>
      <c r="C2" s="1">
        <v>51.1</v>
      </c>
      <c r="D2" s="2">
        <f>B2-C2</f>
        <v>-4.1000000000000014</v>
      </c>
      <c r="E2" s="1">
        <f>ABS(D2)</f>
        <v>4.1000000000000014</v>
      </c>
      <c r="F2" s="2">
        <f>D2^2</f>
        <v>16.810000000000013</v>
      </c>
      <c r="G2" s="1">
        <f>(D2/B2)*100</f>
        <v>-8.7234042553191511</v>
      </c>
      <c r="H2" s="1">
        <f>ABS(D2/B2)*100</f>
        <v>8.7234042553191511</v>
      </c>
    </row>
    <row r="3" spans="1:8" x14ac:dyDescent="0.35">
      <c r="A3" s="1">
        <v>2</v>
      </c>
      <c r="B3" s="1">
        <v>46</v>
      </c>
      <c r="C3" s="1">
        <v>52.9</v>
      </c>
      <c r="D3" s="2">
        <f t="shared" ref="D3:D21" si="0">B3-C3</f>
        <v>-6.8999999999999986</v>
      </c>
      <c r="E3" s="1">
        <f t="shared" ref="E3:E21" si="1">ABS(D3)</f>
        <v>6.8999999999999986</v>
      </c>
      <c r="F3" s="2">
        <f t="shared" ref="F3:F21" si="2">D3^2</f>
        <v>47.609999999999978</v>
      </c>
      <c r="G3" s="1">
        <f t="shared" ref="G3:G21" si="3">(D3/B3)*100</f>
        <v>-14.999999999999996</v>
      </c>
      <c r="H3" s="1">
        <f t="shared" ref="H3:H21" si="4">ABS(D3/B3)*100</f>
        <v>14.999999999999996</v>
      </c>
    </row>
    <row r="4" spans="1:8" x14ac:dyDescent="0.35">
      <c r="A4" s="1">
        <v>3</v>
      </c>
      <c r="B4" s="1">
        <v>51</v>
      </c>
      <c r="C4" s="1">
        <v>48.8</v>
      </c>
      <c r="D4" s="2">
        <f t="shared" si="0"/>
        <v>2.2000000000000028</v>
      </c>
      <c r="E4" s="1">
        <f t="shared" si="1"/>
        <v>2.2000000000000028</v>
      </c>
      <c r="F4" s="2">
        <f t="shared" si="2"/>
        <v>4.8400000000000123</v>
      </c>
      <c r="G4" s="1">
        <f t="shared" si="3"/>
        <v>4.3137254901960835</v>
      </c>
      <c r="H4" s="1">
        <f t="shared" si="4"/>
        <v>4.3137254901960835</v>
      </c>
    </row>
    <row r="5" spans="1:8" x14ac:dyDescent="0.35">
      <c r="A5" s="1">
        <v>4</v>
      </c>
      <c r="B5" s="1">
        <v>44</v>
      </c>
      <c r="C5" s="1">
        <v>48.1</v>
      </c>
      <c r="D5" s="2">
        <f t="shared" si="0"/>
        <v>-4.1000000000000014</v>
      </c>
      <c r="E5" s="1">
        <f t="shared" si="1"/>
        <v>4.1000000000000014</v>
      </c>
      <c r="F5" s="2">
        <f t="shared" si="2"/>
        <v>16.810000000000013</v>
      </c>
      <c r="G5" s="1">
        <f t="shared" si="3"/>
        <v>-9.3181818181818219</v>
      </c>
      <c r="H5" s="1">
        <f t="shared" si="4"/>
        <v>9.3181818181818219</v>
      </c>
    </row>
    <row r="6" spans="1:8" x14ac:dyDescent="0.35">
      <c r="A6" s="1">
        <v>5</v>
      </c>
      <c r="B6" s="1">
        <v>54</v>
      </c>
      <c r="C6" s="1">
        <v>49.7</v>
      </c>
      <c r="D6" s="2">
        <f t="shared" si="0"/>
        <v>4.2999999999999972</v>
      </c>
      <c r="E6" s="1">
        <f t="shared" si="1"/>
        <v>4.2999999999999972</v>
      </c>
      <c r="F6" s="2">
        <f t="shared" si="2"/>
        <v>18.489999999999977</v>
      </c>
      <c r="G6" s="1">
        <f t="shared" si="3"/>
        <v>7.9629629629629575</v>
      </c>
      <c r="H6" s="1">
        <f t="shared" si="4"/>
        <v>7.9629629629629575</v>
      </c>
    </row>
    <row r="7" spans="1:8" x14ac:dyDescent="0.35">
      <c r="A7" s="1">
        <v>6</v>
      </c>
      <c r="B7" s="1">
        <v>47</v>
      </c>
      <c r="C7" s="1">
        <v>47.5</v>
      </c>
      <c r="D7" s="2">
        <f t="shared" si="0"/>
        <v>-0.5</v>
      </c>
      <c r="E7" s="1">
        <f t="shared" si="1"/>
        <v>0.5</v>
      </c>
      <c r="F7" s="2">
        <f t="shared" si="2"/>
        <v>0.25</v>
      </c>
      <c r="G7" s="1">
        <f t="shared" si="3"/>
        <v>-1.0638297872340425</v>
      </c>
      <c r="H7" s="1">
        <f t="shared" si="4"/>
        <v>1.0638297872340425</v>
      </c>
    </row>
    <row r="8" spans="1:8" x14ac:dyDescent="0.35">
      <c r="A8" s="1">
        <v>7</v>
      </c>
      <c r="B8" s="1">
        <v>52</v>
      </c>
      <c r="C8" s="1">
        <v>51.2</v>
      </c>
      <c r="D8" s="2">
        <f t="shared" si="0"/>
        <v>0.79999999999999716</v>
      </c>
      <c r="E8" s="1">
        <f t="shared" si="1"/>
        <v>0.79999999999999716</v>
      </c>
      <c r="F8" s="2">
        <f t="shared" si="2"/>
        <v>0.63999999999999546</v>
      </c>
      <c r="G8" s="1">
        <f t="shared" si="3"/>
        <v>1.538461538461533</v>
      </c>
      <c r="H8" s="1">
        <f t="shared" si="4"/>
        <v>1.538461538461533</v>
      </c>
    </row>
    <row r="9" spans="1:8" x14ac:dyDescent="0.35">
      <c r="A9" s="1">
        <v>8</v>
      </c>
      <c r="B9" s="1">
        <v>45</v>
      </c>
      <c r="C9" s="1">
        <v>53.1</v>
      </c>
      <c r="D9" s="2">
        <f t="shared" si="0"/>
        <v>-8.1000000000000014</v>
      </c>
      <c r="E9" s="1">
        <f t="shared" si="1"/>
        <v>8.1000000000000014</v>
      </c>
      <c r="F9" s="2">
        <f t="shared" si="2"/>
        <v>65.610000000000028</v>
      </c>
      <c r="G9" s="1">
        <f t="shared" si="3"/>
        <v>-18.000000000000004</v>
      </c>
      <c r="H9" s="1">
        <f t="shared" si="4"/>
        <v>18.000000000000004</v>
      </c>
    </row>
    <row r="10" spans="1:8" x14ac:dyDescent="0.35">
      <c r="A10" s="1">
        <v>9</v>
      </c>
      <c r="B10" s="1">
        <v>50</v>
      </c>
      <c r="C10" s="1">
        <v>54.4</v>
      </c>
      <c r="D10" s="2">
        <f t="shared" si="0"/>
        <v>-4.3999999999999986</v>
      </c>
      <c r="E10" s="1">
        <f t="shared" si="1"/>
        <v>4.3999999999999986</v>
      </c>
      <c r="F10" s="2">
        <f t="shared" si="2"/>
        <v>19.359999999999989</v>
      </c>
      <c r="G10" s="1">
        <f t="shared" si="3"/>
        <v>-8.7999999999999972</v>
      </c>
      <c r="H10" s="1">
        <f t="shared" si="4"/>
        <v>8.7999999999999972</v>
      </c>
    </row>
    <row r="11" spans="1:8" x14ac:dyDescent="0.35">
      <c r="A11" s="1">
        <v>10</v>
      </c>
      <c r="B11" s="1">
        <v>51</v>
      </c>
      <c r="C11" s="1">
        <v>51.2</v>
      </c>
      <c r="D11" s="2">
        <f t="shared" si="0"/>
        <v>-0.20000000000000284</v>
      </c>
      <c r="E11" s="1">
        <f t="shared" si="1"/>
        <v>0.20000000000000284</v>
      </c>
      <c r="F11" s="2">
        <f t="shared" si="2"/>
        <v>4.0000000000001139E-2</v>
      </c>
      <c r="G11" s="1">
        <f t="shared" si="3"/>
        <v>-0.39215686274510358</v>
      </c>
      <c r="H11" s="1">
        <f t="shared" si="4"/>
        <v>0.39215686274510358</v>
      </c>
    </row>
    <row r="12" spans="1:8" x14ac:dyDescent="0.35">
      <c r="A12" s="1">
        <v>11</v>
      </c>
      <c r="B12" s="1">
        <v>49</v>
      </c>
      <c r="C12" s="1">
        <v>53.3</v>
      </c>
      <c r="D12" s="2">
        <f t="shared" si="0"/>
        <v>-4.2999999999999972</v>
      </c>
      <c r="E12" s="1">
        <f t="shared" si="1"/>
        <v>4.2999999999999972</v>
      </c>
      <c r="F12" s="2">
        <f t="shared" si="2"/>
        <v>18.489999999999977</v>
      </c>
      <c r="G12" s="1">
        <f t="shared" si="3"/>
        <v>-8.7755102040816269</v>
      </c>
      <c r="H12" s="1">
        <f t="shared" si="4"/>
        <v>8.7755102040816269</v>
      </c>
    </row>
    <row r="13" spans="1:8" x14ac:dyDescent="0.35">
      <c r="A13" s="1">
        <v>12</v>
      </c>
      <c r="B13" s="1">
        <v>41</v>
      </c>
      <c r="C13" s="1">
        <v>46.5</v>
      </c>
      <c r="D13" s="2">
        <f t="shared" si="0"/>
        <v>-5.5</v>
      </c>
      <c r="E13" s="1">
        <f t="shared" si="1"/>
        <v>5.5</v>
      </c>
      <c r="F13" s="2">
        <f t="shared" si="2"/>
        <v>30.25</v>
      </c>
      <c r="G13" s="1">
        <f t="shared" si="3"/>
        <v>-13.414634146341465</v>
      </c>
      <c r="H13" s="1">
        <f t="shared" si="4"/>
        <v>13.414634146341465</v>
      </c>
    </row>
    <row r="14" spans="1:8" x14ac:dyDescent="0.35">
      <c r="A14" s="1">
        <v>13</v>
      </c>
      <c r="B14" s="1">
        <v>48</v>
      </c>
      <c r="C14" s="1">
        <v>53.1</v>
      </c>
      <c r="D14" s="2">
        <f t="shared" si="0"/>
        <v>-5.1000000000000014</v>
      </c>
      <c r="E14" s="1">
        <f t="shared" si="1"/>
        <v>5.1000000000000014</v>
      </c>
      <c r="F14" s="2">
        <f t="shared" si="2"/>
        <v>26.010000000000016</v>
      </c>
      <c r="G14" s="1">
        <f t="shared" si="3"/>
        <v>-10.625000000000002</v>
      </c>
      <c r="H14" s="1">
        <f t="shared" si="4"/>
        <v>10.625000000000002</v>
      </c>
    </row>
    <row r="15" spans="1:8" x14ac:dyDescent="0.35">
      <c r="A15" s="1">
        <v>14</v>
      </c>
      <c r="B15" s="1">
        <v>50</v>
      </c>
      <c r="C15" s="1">
        <v>52.1</v>
      </c>
      <c r="D15" s="2">
        <f t="shared" si="0"/>
        <v>-2.1000000000000014</v>
      </c>
      <c r="E15" s="1">
        <f t="shared" si="1"/>
        <v>2.1000000000000014</v>
      </c>
      <c r="F15" s="2">
        <f t="shared" si="2"/>
        <v>4.4100000000000064</v>
      </c>
      <c r="G15" s="1">
        <f t="shared" si="3"/>
        <v>-4.2000000000000028</v>
      </c>
      <c r="H15" s="1">
        <f t="shared" si="4"/>
        <v>4.2000000000000028</v>
      </c>
    </row>
    <row r="16" spans="1:8" x14ac:dyDescent="0.35">
      <c r="A16" s="1">
        <v>15</v>
      </c>
      <c r="B16" s="1">
        <v>51</v>
      </c>
      <c r="C16" s="1">
        <v>46.8</v>
      </c>
      <c r="D16" s="2">
        <f t="shared" si="0"/>
        <v>4.2000000000000028</v>
      </c>
      <c r="E16" s="1">
        <f t="shared" si="1"/>
        <v>4.2000000000000028</v>
      </c>
      <c r="F16" s="2">
        <f t="shared" si="2"/>
        <v>17.640000000000025</v>
      </c>
      <c r="G16" s="1">
        <f t="shared" si="3"/>
        <v>8.2352941176470651</v>
      </c>
      <c r="H16" s="1">
        <f t="shared" si="4"/>
        <v>8.2352941176470651</v>
      </c>
    </row>
    <row r="17" spans="1:8" x14ac:dyDescent="0.35">
      <c r="A17" s="1">
        <v>16</v>
      </c>
      <c r="B17" s="1">
        <v>55</v>
      </c>
      <c r="C17" s="1">
        <v>47.7</v>
      </c>
      <c r="D17" s="2">
        <f t="shared" si="0"/>
        <v>7.2999999999999972</v>
      </c>
      <c r="E17" s="1">
        <f t="shared" si="1"/>
        <v>7.2999999999999972</v>
      </c>
      <c r="F17" s="2">
        <f t="shared" si="2"/>
        <v>53.289999999999957</v>
      </c>
      <c r="G17" s="1">
        <f t="shared" si="3"/>
        <v>13.272727272727266</v>
      </c>
      <c r="H17" s="1">
        <f t="shared" si="4"/>
        <v>13.272727272727266</v>
      </c>
    </row>
    <row r="18" spans="1:8" x14ac:dyDescent="0.35">
      <c r="A18" s="1">
        <v>17</v>
      </c>
      <c r="B18" s="1">
        <v>52</v>
      </c>
      <c r="C18" s="1">
        <v>45.4</v>
      </c>
      <c r="D18" s="2">
        <f t="shared" si="0"/>
        <v>6.6000000000000014</v>
      </c>
      <c r="E18" s="1">
        <f t="shared" si="1"/>
        <v>6.6000000000000014</v>
      </c>
      <c r="F18" s="2">
        <f t="shared" si="2"/>
        <v>43.560000000000016</v>
      </c>
      <c r="G18" s="1">
        <f t="shared" si="3"/>
        <v>12.692307692307695</v>
      </c>
      <c r="H18" s="1">
        <f t="shared" si="4"/>
        <v>12.692307692307695</v>
      </c>
    </row>
    <row r="19" spans="1:8" x14ac:dyDescent="0.35">
      <c r="A19" s="1">
        <v>18</v>
      </c>
      <c r="B19" s="1">
        <v>53</v>
      </c>
      <c r="C19" s="1">
        <v>47.1</v>
      </c>
      <c r="D19" s="2">
        <f t="shared" si="0"/>
        <v>5.8999999999999986</v>
      </c>
      <c r="E19" s="1">
        <f t="shared" si="1"/>
        <v>5.8999999999999986</v>
      </c>
      <c r="F19" s="2">
        <f t="shared" si="2"/>
        <v>34.809999999999981</v>
      </c>
      <c r="G19" s="1">
        <f t="shared" si="3"/>
        <v>11.13207547169811</v>
      </c>
      <c r="H19" s="1">
        <f t="shared" si="4"/>
        <v>11.13207547169811</v>
      </c>
    </row>
    <row r="20" spans="1:8" x14ac:dyDescent="0.35">
      <c r="A20" s="1">
        <v>19</v>
      </c>
      <c r="B20" s="1">
        <v>48</v>
      </c>
      <c r="C20" s="1">
        <v>51.8</v>
      </c>
      <c r="D20" s="2">
        <f t="shared" si="0"/>
        <v>-3.7999999999999972</v>
      </c>
      <c r="E20" s="1">
        <f t="shared" si="1"/>
        <v>3.7999999999999972</v>
      </c>
      <c r="F20" s="2">
        <f t="shared" si="2"/>
        <v>14.439999999999978</v>
      </c>
      <c r="G20" s="1">
        <f t="shared" si="3"/>
        <v>-7.9166666666666607</v>
      </c>
      <c r="H20" s="1">
        <f t="shared" si="4"/>
        <v>7.9166666666666607</v>
      </c>
    </row>
    <row r="21" spans="1:8" x14ac:dyDescent="0.35">
      <c r="A21" s="1">
        <v>20</v>
      </c>
      <c r="B21" s="1">
        <v>52</v>
      </c>
      <c r="C21" s="1">
        <v>45.8</v>
      </c>
      <c r="D21" s="2">
        <f t="shared" si="0"/>
        <v>6.2000000000000028</v>
      </c>
      <c r="E21" s="1">
        <f t="shared" si="1"/>
        <v>6.2000000000000028</v>
      </c>
      <c r="F21" s="2">
        <f t="shared" si="2"/>
        <v>38.440000000000033</v>
      </c>
      <c r="G21" s="1">
        <f t="shared" si="3"/>
        <v>11.923076923076929</v>
      </c>
      <c r="H21" s="1">
        <f t="shared" si="4"/>
        <v>11.923076923076929</v>
      </c>
    </row>
    <row r="22" spans="1:8" x14ac:dyDescent="0.35">
      <c r="A22" s="5" t="s">
        <v>7</v>
      </c>
      <c r="B22" s="5"/>
      <c r="C22" s="5"/>
      <c r="D22" s="2">
        <f>SUM(D2:D21)</f>
        <v>-11.600000000000001</v>
      </c>
      <c r="E22" s="1">
        <f>SUM(E2:E21)</f>
        <v>86.6</v>
      </c>
      <c r="F22" s="2">
        <f>SUM(F2:F21)</f>
        <v>471.80000000000007</v>
      </c>
      <c r="G22" s="2">
        <f>SUM(G2:G21)</f>
        <v>-35.15875227149224</v>
      </c>
      <c r="H22" s="2">
        <f>SUM(H2:H21)</f>
        <v>177.30001520964751</v>
      </c>
    </row>
    <row r="23" spans="1:8" x14ac:dyDescent="0.35">
      <c r="A23" s="4"/>
      <c r="B23" s="4"/>
      <c r="C23" s="4"/>
      <c r="D23" s="4"/>
      <c r="E23" s="4"/>
      <c r="F23" s="4"/>
      <c r="G23" s="4"/>
      <c r="H23" s="4"/>
    </row>
    <row r="25" spans="1:8" x14ac:dyDescent="0.35"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</row>
    <row r="26" spans="1:8" x14ac:dyDescent="0.35">
      <c r="C26" s="2">
        <f>AVERAGE(D2:D21)</f>
        <v>-0.58000000000000007</v>
      </c>
      <c r="D26" s="1">
        <f>AVERAGE(E2:E21)</f>
        <v>4.33</v>
      </c>
      <c r="E26" s="2">
        <f>AVERAGE(F2:F21)</f>
        <v>23.590000000000003</v>
      </c>
      <c r="F26" s="1">
        <f>AVERAGE(G2:G21)</f>
        <v>-1.7579376135746121</v>
      </c>
      <c r="G26" s="2">
        <f>AVERAGE(H2:H21)</f>
        <v>8.865000760482376</v>
      </c>
    </row>
  </sheetData>
  <mergeCells count="1"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2026-04-03T09:58:17Z</dcterms:created>
  <dcterms:modified xsi:type="dcterms:W3CDTF">2026-04-03T16:40:23Z</dcterms:modified>
</cp:coreProperties>
</file>